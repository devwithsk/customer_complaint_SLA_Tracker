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xcel 30 days challange\"/>
    </mc:Choice>
  </mc:AlternateContent>
  <xr:revisionPtr revIDLastSave="0" documentId="13_ncr:1_{E92B9547-6807-4F31-89A5-DF5EBD6CDC24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LA_Master" sheetId="1" r:id="rId1"/>
    <sheet name="Complaint_Tickets" sheetId="2" r:id="rId2"/>
    <sheet name="SLA_Breach_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2" l="1"/>
  <c r="H14" i="2"/>
  <c r="H11" i="2"/>
  <c r="H10" i="2"/>
  <c r="H7" i="2"/>
  <c r="H6" i="2"/>
  <c r="H3" i="2"/>
  <c r="F17" i="2"/>
  <c r="H17" i="2" s="1"/>
  <c r="F16" i="2"/>
  <c r="H16" i="2" s="1"/>
  <c r="F15" i="2"/>
  <c r="F14" i="2"/>
  <c r="F13" i="2"/>
  <c r="H13" i="2" s="1"/>
  <c r="F12" i="2"/>
  <c r="H12" i="2" s="1"/>
  <c r="F11" i="2"/>
  <c r="F10" i="2"/>
  <c r="F9" i="2"/>
  <c r="H9" i="2" s="1"/>
  <c r="L9" i="2" s="1"/>
  <c r="F8" i="2"/>
  <c r="H8" i="2" s="1"/>
  <c r="F7" i="2"/>
  <c r="F6" i="2"/>
  <c r="F5" i="2"/>
  <c r="H5" i="2" s="1"/>
  <c r="F4" i="2"/>
  <c r="H4" i="2" s="1"/>
  <c r="F3" i="2"/>
  <c r="C20" i="3"/>
  <c r="E17" i="3"/>
  <c r="B17" i="3"/>
  <c r="B16" i="3"/>
  <c r="B15" i="3"/>
  <c r="E14" i="3"/>
  <c r="B14" i="3"/>
  <c r="B13" i="3"/>
  <c r="B8" i="3"/>
  <c r="B7" i="3"/>
  <c r="B6" i="3"/>
  <c r="E5" i="3"/>
  <c r="B5" i="3"/>
  <c r="B4" i="3"/>
  <c r="K17" i="2"/>
  <c r="K16" i="2"/>
  <c r="E7" i="3" s="1"/>
  <c r="K15" i="2"/>
  <c r="E15" i="3" s="1"/>
  <c r="L15" i="2"/>
  <c r="K14" i="2"/>
  <c r="K13" i="2"/>
  <c r="K12" i="2"/>
  <c r="E13" i="3" s="1"/>
  <c r="K11" i="2"/>
  <c r="K10" i="2"/>
  <c r="K9" i="2"/>
  <c r="K8" i="2"/>
  <c r="E16" i="3" s="1"/>
  <c r="K7" i="2"/>
  <c r="K6" i="2"/>
  <c r="K5" i="2"/>
  <c r="K4" i="2"/>
  <c r="K3" i="2"/>
  <c r="L14" i="2" l="1"/>
  <c r="L4" i="2"/>
  <c r="L13" i="2"/>
  <c r="L17" i="2"/>
  <c r="L10" i="2"/>
  <c r="L12" i="2"/>
  <c r="L3" i="2"/>
  <c r="C17" i="3" s="1"/>
  <c r="D17" i="3" s="1"/>
  <c r="L16" i="2"/>
  <c r="L7" i="2"/>
  <c r="L11" i="2"/>
  <c r="C5" i="3"/>
  <c r="D5" i="3" s="1"/>
  <c r="L5" i="2"/>
  <c r="L8" i="2"/>
  <c r="E4" i="3"/>
  <c r="E6" i="3"/>
  <c r="E8" i="3"/>
  <c r="L6" i="2"/>
  <c r="C7" i="3" l="1"/>
  <c r="D7" i="3" s="1"/>
  <c r="C8" i="3"/>
  <c r="D8" i="3" s="1"/>
  <c r="C13" i="3"/>
  <c r="D13" i="3" s="1"/>
  <c r="C15" i="3"/>
  <c r="D15" i="3" s="1"/>
  <c r="C16" i="3"/>
  <c r="D16" i="3" s="1"/>
  <c r="C23" i="3"/>
  <c r="C24" i="3"/>
  <c r="C21" i="3"/>
  <c r="C22" i="3" s="1"/>
  <c r="C6" i="3"/>
  <c r="D6" i="3" s="1"/>
  <c r="C14" i="3"/>
  <c r="D14" i="3" s="1"/>
  <c r="C4" i="3"/>
  <c r="D4" i="3" s="1"/>
</calcChain>
</file>

<file path=xl/sharedStrings.xml><?xml version="1.0" encoding="utf-8"?>
<sst xmlns="http://schemas.openxmlformats.org/spreadsheetml/2006/main" count="154" uniqueCount="93">
  <si>
    <t>Customer Complaint &amp; SLA Breach Tracker — SLA Policy</t>
  </si>
  <si>
    <t>① SLA Resolution Time by Priority</t>
  </si>
  <si>
    <t>This defines how many hours a ticket has to be resolved in, once its Priority is known.</t>
  </si>
  <si>
    <t>Priority</t>
  </si>
  <si>
    <t>SLA Resolution Time (Hours)</t>
  </si>
  <si>
    <t>SLA Resolution Time (Days)</t>
  </si>
  <si>
    <t>Description</t>
  </si>
  <si>
    <t>Critical</t>
  </si>
  <si>
    <t>System down / customer cannot transact</t>
  </si>
  <si>
    <t>High</t>
  </si>
  <si>
    <t>Major issue, no workaround</t>
  </si>
  <si>
    <t>Medium</t>
  </si>
  <si>
    <t>Moderate issue, workaround exists</t>
  </si>
  <si>
    <t>Low</t>
  </si>
  <si>
    <t>Minor issue / general query</t>
  </si>
  <si>
    <t>② Category → Priority Mapping (this is what auto-fills Priority on every ticket)</t>
  </si>
  <si>
    <t>When you pick a Category on a ticket, its Priority is looked up from here automatically — no manual selection needed.</t>
  </si>
  <si>
    <t>Category</t>
  </si>
  <si>
    <t>Reasoning</t>
  </si>
  <si>
    <t>Account Access</t>
  </si>
  <si>
    <t>Customer is locked out entirely — cannot use the product/service at all</t>
  </si>
  <si>
    <t>Technical</t>
  </si>
  <si>
    <t>Product/system malfunction that blocks normal usage</t>
  </si>
  <si>
    <t>Product Quality</t>
  </si>
  <si>
    <t>Defect or safety concern — urgent brand/trust impact</t>
  </si>
  <si>
    <t>Billing</t>
  </si>
  <si>
    <t>Incorrect charge or invoice query — annoying but not blocking</t>
  </si>
  <si>
    <t>Delivery</t>
  </si>
  <si>
    <t>Shipment delay/status query — informational, least urgent</t>
  </si>
  <si>
    <t>Customer Complaint Ticket Log</t>
  </si>
  <si>
    <t>S.No</t>
  </si>
  <si>
    <t>Ticket ID</t>
  </si>
  <si>
    <t>Date &amp; Time Raised</t>
  </si>
  <si>
    <t>Customer Name</t>
  </si>
  <si>
    <t>Assigned Agent</t>
  </si>
  <si>
    <t>SLA Deadline</t>
  </si>
  <si>
    <t>Status</t>
  </si>
  <si>
    <t>Date &amp; Time Resolved</t>
  </si>
  <si>
    <t>Resolution Time (Hrs)</t>
  </si>
  <si>
    <t>SLA Compliance</t>
  </si>
  <si>
    <t>TKT-1001</t>
  </si>
  <si>
    <t>Global Traders</t>
  </si>
  <si>
    <t>Neha Kapoor</t>
  </si>
  <si>
    <t>Open</t>
  </si>
  <si>
    <t>TKT-1002</t>
  </si>
  <si>
    <t>TechVision India</t>
  </si>
  <si>
    <t>Arjun Mehta</t>
  </si>
  <si>
    <t>TKT-1003</t>
  </si>
  <si>
    <t>Sharma Enterprises</t>
  </si>
  <si>
    <t>Fatima Sheikh</t>
  </si>
  <si>
    <t>In Progress</t>
  </si>
  <si>
    <t>TKT-1004</t>
  </si>
  <si>
    <t>BluePeak Retail</t>
  </si>
  <si>
    <t>Rohan Das</t>
  </si>
  <si>
    <t>TKT-1005</t>
  </si>
  <si>
    <t>Nova Logistics</t>
  </si>
  <si>
    <t>Priyanka Nair</t>
  </si>
  <si>
    <t>TKT-1006</t>
  </si>
  <si>
    <t>Orbit Textiles</t>
  </si>
  <si>
    <t>Resolved</t>
  </si>
  <si>
    <t>TKT-1007</t>
  </si>
  <si>
    <t>Sunrise Foods</t>
  </si>
  <si>
    <t>TKT-1008</t>
  </si>
  <si>
    <t>Metro Hardware</t>
  </si>
  <si>
    <t>TKT-1009</t>
  </si>
  <si>
    <t>Zenith Motors</t>
  </si>
  <si>
    <t>TKT-1010</t>
  </si>
  <si>
    <t>Coral Interiors</t>
  </si>
  <si>
    <t>TKT-1011</t>
  </si>
  <si>
    <t>Vertex Solutions</t>
  </si>
  <si>
    <t>TKT-1012</t>
  </si>
  <si>
    <t>Harmony Exports</t>
  </si>
  <si>
    <t>TKT-1013</t>
  </si>
  <si>
    <t>Delta Pharma</t>
  </si>
  <si>
    <t>TKT-1014</t>
  </si>
  <si>
    <t>Skyline Builders</t>
  </si>
  <si>
    <t>TKT-1015</t>
  </si>
  <si>
    <t>Prime Electronics</t>
  </si>
  <si>
    <t>SLA Breach Dashboard</t>
  </si>
  <si>
    <t>Agent-Wise Performance</t>
  </si>
  <si>
    <t>Agent</t>
  </si>
  <si>
    <t>Total Tickets</t>
  </si>
  <si>
    <t>Breached Tickets</t>
  </si>
  <si>
    <t>Breach Rate %</t>
  </si>
  <si>
    <t>Avg Resolution Time (Hrs)</t>
  </si>
  <si>
    <t>Category-Wise Performance</t>
  </si>
  <si>
    <t>Overall Snapshot</t>
  </si>
  <si>
    <t>Overall Breach Rate %</t>
  </si>
  <si>
    <t>Report Date &amp; Time:</t>
  </si>
  <si>
    <t>Column1</t>
  </si>
  <si>
    <t>Total Breached Tickets</t>
  </si>
  <si>
    <t>Tickets On Track</t>
  </si>
  <si>
    <t>Tickets At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</si>
</sst>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\ AM/PM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2"/>
      <color rgb="FF1F4E78"/>
      <name val="Cambria"/>
      <family val="1"/>
    </font>
    <font>
      <i/>
      <sz val="9"/>
      <color rgb="FF808080"/>
      <name val="Cambria"/>
      <family val="1"/>
    </font>
    <font>
      <b/>
      <sz val="11"/>
      <color rgb="FFFFFFFF"/>
      <name val="Arial"/>
      <family val="2"/>
    </font>
    <font>
      <b/>
      <sz val="11"/>
      <name val="Cambria"/>
      <family val="1"/>
    </font>
    <font>
      <b/>
      <sz val="11"/>
      <color rgb="FFC00000"/>
      <name val="Cambria"/>
      <family val="1"/>
    </font>
    <font>
      <b/>
      <sz val="18"/>
      <color rgb="FF1F4E78"/>
      <name val="Arial"/>
      <family val="2"/>
    </font>
    <font>
      <b/>
      <sz val="22"/>
      <color rgb="FF1F4E7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 wrapText="1"/>
    </xf>
    <xf numFmtId="164" fontId="6" fillId="0" borderId="0" xfId="0" applyNumberFormat="1" applyFont="1"/>
    <xf numFmtId="165" fontId="0" fillId="0" borderId="0" xfId="0" applyNumberFormat="1"/>
    <xf numFmtId="9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" xfId="0" applyBorder="1"/>
    <xf numFmtId="2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  <xf numFmtId="2" fontId="0" fillId="0" borderId="0" xfId="0" applyNumberForma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9" fontId="0" fillId="0" borderId="1" xfId="0" applyNumberFormat="1" applyBorder="1"/>
  </cellXfs>
  <cellStyles count="1">
    <cellStyle name="Normal" xfId="0" builtinId="0"/>
  </cellStyles>
  <dxfs count="5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D966"/>
        </patternFill>
      </fill>
    </dxf>
    <dxf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-mmm\-yyyy\ hh:mm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D966"/>
        </patternFill>
      </fill>
    </dxf>
    <dxf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C2C6B8-B24F-4D7E-A27A-DDCA7EF88F06}" name="Table2" displayName="Table2" ref="A8:D12" headerRowCount="0" totalsRowShown="0" headerRowDxfId="54" tableBorderDxfId="53" totalsRowBorderDxfId="52">
  <tableColumns count="4">
    <tableColumn id="1" xr3:uid="{83E44DD4-B7E9-41DF-A21E-1990AE9142A1}" name="Column1" headerRowDxfId="51" dataDxfId="50"/>
    <tableColumn id="2" xr3:uid="{084B0D05-4645-42D9-B09B-F06757CB7D8C}" name="Column2" headerRowDxfId="49" dataDxfId="48"/>
    <tableColumn id="3" xr3:uid="{8D0A6E10-C2CA-4F03-85D5-B98230A898B6}" name="Column3" headerRowDxfId="47" dataDxfId="46"/>
    <tableColumn id="4" xr3:uid="{8E5EB795-A9E9-47B5-AEA9-FBF1A861EED3}" name="Column4" headerRowDxfId="45" dataDxfId="4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E82F3-A67C-4551-8CE9-A30AD8700922}" name="Table5" displayName="Table5" ref="A16:D21" totalsRowShown="0" headerRowDxfId="43" headerRowBorderDxfId="42" tableBorderDxfId="41" totalsRowBorderDxfId="40">
  <autoFilter ref="A16:D21" xr:uid="{1CEE82F3-A67C-4551-8CE9-A30AD8700922}"/>
  <tableColumns count="4">
    <tableColumn id="1" xr3:uid="{ADF1013B-8EB8-4BB0-9123-3E9D85E849FB}" name="Category" dataDxfId="39"/>
    <tableColumn id="2" xr3:uid="{1E973941-4819-4A66-B963-20DB4AF83A75}" name="Priority" dataDxfId="38"/>
    <tableColumn id="3" xr3:uid="{346964DE-1730-40FA-B8BD-16D46885B66C}" name="Reasoning" dataDxfId="37"/>
    <tableColumn id="4" xr3:uid="{418FFCA3-0B71-4AFC-8C18-1033B9389103}" name="Column1" dataDxfId="36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omplaintTickets" displayName="ComplaintTickets" ref="A2:L17" totalsRowShown="0" headerRowDxfId="15">
  <autoFilter ref="A2:L17" xr:uid="{00000000-0009-0000-0100-000004000000}"/>
  <tableColumns count="12">
    <tableColumn id="1" xr3:uid="{00000000-0010-0000-0200-000001000000}" name="S.No" dataDxfId="27"/>
    <tableColumn id="2" xr3:uid="{00000000-0010-0000-0200-000002000000}" name="Ticket ID" dataDxfId="26"/>
    <tableColumn id="3" xr3:uid="{00000000-0010-0000-0200-000003000000}" name="Date &amp; Time Raised" dataDxfId="25"/>
    <tableColumn id="4" xr3:uid="{00000000-0010-0000-0200-000004000000}" name="Customer Name" dataDxfId="24"/>
    <tableColumn id="5" xr3:uid="{00000000-0010-0000-0200-000005000000}" name="Category" dataDxfId="23"/>
    <tableColumn id="6" xr3:uid="{00000000-0010-0000-0200-000006000000}" name="Priority" dataDxfId="22">
      <calculatedColumnFormula>VLOOKUP(E3,Table5[#All],2,FALSE())</calculatedColumnFormula>
    </tableColumn>
    <tableColumn id="7" xr3:uid="{00000000-0010-0000-0200-000007000000}" name="Assigned Agent" dataDxfId="21"/>
    <tableColumn id="8" xr3:uid="{00000000-0010-0000-0200-000008000000}" name="SLA Deadline" dataDxfId="20">
      <calculatedColumnFormula>C3+VLOOKUP(F3,Table2[#All],3,FALSE())</calculatedColumnFormula>
    </tableColumn>
    <tableColumn id="9" xr3:uid="{00000000-0010-0000-0200-000009000000}" name="Status" dataDxfId="19"/>
    <tableColumn id="10" xr3:uid="{00000000-0010-0000-0200-00000A000000}" name="Date &amp; Time Resolved" dataDxfId="18"/>
    <tableColumn id="11" xr3:uid="{00000000-0010-0000-0200-00000B000000}" name="Resolution Time (Hrs)" dataDxfId="17"/>
    <tableColumn id="12" xr3:uid="{00000000-0010-0000-0200-00000C000000}" name="SLA Compliance" dataDxfId="1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AgentSummary" displayName="AgentSummary" ref="A3:E8" totalsRowShown="0">
  <autoFilter ref="A3:E8" xr:uid="{00000000-0009-0000-0100-000001000000}"/>
  <tableColumns count="5">
    <tableColumn id="1" xr3:uid="{00000000-0010-0000-0300-000001000000}" name="Agent"/>
    <tableColumn id="2" xr3:uid="{00000000-0010-0000-0300-000002000000}" name="Total Tickets"/>
    <tableColumn id="3" xr3:uid="{00000000-0010-0000-0300-000003000000}" name="Breached Tickets"/>
    <tableColumn id="4" xr3:uid="{00000000-0010-0000-0300-000004000000}" name="Breach Rate %"/>
    <tableColumn id="5" xr3:uid="{00000000-0010-0000-0300-000005000000}" name="Avg Resolution Time (Hrs)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CategorySummary" displayName="CategorySummary" ref="A12:E17" totalsRowShown="0">
  <autoFilter ref="A12:E17" xr:uid="{00000000-0009-0000-0100-000003000000}"/>
  <tableColumns count="5">
    <tableColumn id="1" xr3:uid="{00000000-0010-0000-0400-000001000000}" name="Category"/>
    <tableColumn id="2" xr3:uid="{00000000-0010-0000-0400-000002000000}" name="Total Tickets"/>
    <tableColumn id="3" xr3:uid="{00000000-0010-0000-0400-000003000000}" name="Breached Tickets"/>
    <tableColumn id="4" xr3:uid="{00000000-0010-0000-0400-000004000000}" name="Breach Rate %"/>
    <tableColumn id="5" xr3:uid="{00000000-0010-0000-0400-000005000000}" name="Avg Resolution Time (Hrs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selection activeCell="C1" sqref="C1"/>
    </sheetView>
  </sheetViews>
  <sheetFormatPr defaultColWidth="8.7109375" defaultRowHeight="15" x14ac:dyDescent="0.25"/>
  <cols>
    <col min="1" max="1" width="18" customWidth="1"/>
    <col min="2" max="2" width="26" customWidth="1"/>
    <col min="3" max="3" width="26.140625" customWidth="1"/>
    <col min="4" max="4" width="39.7109375" customWidth="1"/>
  </cols>
  <sheetData>
    <row r="1" spans="1:4" ht="18" x14ac:dyDescent="0.25">
      <c r="A1" s="22" t="s">
        <v>88</v>
      </c>
      <c r="B1" s="22"/>
      <c r="C1" s="3">
        <v>46211.75</v>
      </c>
      <c r="D1" s="1"/>
    </row>
    <row r="3" spans="1:4" ht="18" customHeight="1" x14ac:dyDescent="0.25">
      <c r="A3" s="21" t="s">
        <v>0</v>
      </c>
      <c r="B3" s="21"/>
      <c r="C3" s="21"/>
      <c r="D3" s="21"/>
    </row>
    <row r="4" spans="1:4" x14ac:dyDescent="0.25">
      <c r="A4" s="21"/>
      <c r="B4" s="21"/>
      <c r="C4" s="21"/>
      <c r="D4" s="21"/>
    </row>
    <row r="5" spans="1:4" ht="15.75" x14ac:dyDescent="0.25">
      <c r="A5" s="23" t="s">
        <v>1</v>
      </c>
      <c r="B5" s="23"/>
      <c r="C5" s="23"/>
      <c r="D5" s="23"/>
    </row>
    <row r="6" spans="1:4" x14ac:dyDescent="0.25">
      <c r="A6" s="24" t="s">
        <v>2</v>
      </c>
      <c r="B6" s="24"/>
      <c r="C6" s="24"/>
      <c r="D6" s="24"/>
    </row>
    <row r="7" spans="1:4" ht="18" customHeight="1" x14ac:dyDescent="0.25"/>
    <row r="8" spans="1:4" ht="30" x14ac:dyDescent="0.25">
      <c r="A8" s="6" t="s">
        <v>3</v>
      </c>
      <c r="B8" s="7" t="s">
        <v>4</v>
      </c>
      <c r="C8" s="7" t="s">
        <v>5</v>
      </c>
      <c r="D8" s="8" t="s">
        <v>6</v>
      </c>
    </row>
    <row r="9" spans="1:4" x14ac:dyDescent="0.25">
      <c r="A9" s="9" t="s">
        <v>7</v>
      </c>
      <c r="B9" s="10">
        <v>4</v>
      </c>
      <c r="C9" s="11">
        <v>0.16666666666666666</v>
      </c>
      <c r="D9" s="12" t="s">
        <v>8</v>
      </c>
    </row>
    <row r="10" spans="1:4" x14ac:dyDescent="0.25">
      <c r="A10" s="9" t="s">
        <v>9</v>
      </c>
      <c r="B10" s="10">
        <v>24</v>
      </c>
      <c r="C10" s="11">
        <v>1</v>
      </c>
      <c r="D10" s="12" t="s">
        <v>10</v>
      </c>
    </row>
    <row r="11" spans="1:4" x14ac:dyDescent="0.25">
      <c r="A11" s="9" t="s">
        <v>11</v>
      </c>
      <c r="B11" s="10">
        <v>48</v>
      </c>
      <c r="C11" s="11">
        <v>2</v>
      </c>
      <c r="D11" s="12" t="s">
        <v>12</v>
      </c>
    </row>
    <row r="12" spans="1:4" x14ac:dyDescent="0.25">
      <c r="A12" s="13" t="s">
        <v>13</v>
      </c>
      <c r="B12" s="14">
        <v>72</v>
      </c>
      <c r="C12" s="15">
        <v>3</v>
      </c>
      <c r="D12" s="16" t="s">
        <v>14</v>
      </c>
    </row>
    <row r="13" spans="1:4" x14ac:dyDescent="0.25">
      <c r="C13" s="17"/>
    </row>
    <row r="14" spans="1:4" ht="15.75" x14ac:dyDescent="0.25">
      <c r="A14" s="23" t="s">
        <v>15</v>
      </c>
      <c r="B14" s="23"/>
      <c r="C14" s="23"/>
      <c r="D14" s="23"/>
    </row>
    <row r="15" spans="1:4" x14ac:dyDescent="0.25">
      <c r="A15" s="24" t="s">
        <v>16</v>
      </c>
      <c r="B15" s="24"/>
      <c r="C15" s="24"/>
      <c r="D15" s="24"/>
    </row>
    <row r="16" spans="1:4" x14ac:dyDescent="0.25">
      <c r="A16" s="18" t="s">
        <v>17</v>
      </c>
      <c r="B16" s="19" t="s">
        <v>3</v>
      </c>
      <c r="C16" s="19" t="s">
        <v>18</v>
      </c>
      <c r="D16" s="20" t="s">
        <v>89</v>
      </c>
    </row>
    <row r="17" spans="1:4" x14ac:dyDescent="0.25">
      <c r="A17" s="9" t="s">
        <v>19</v>
      </c>
      <c r="B17" s="10" t="s">
        <v>7</v>
      </c>
      <c r="C17" s="10" t="s">
        <v>20</v>
      </c>
      <c r="D17" s="12"/>
    </row>
    <row r="18" spans="1:4" x14ac:dyDescent="0.25">
      <c r="A18" s="9" t="s">
        <v>21</v>
      </c>
      <c r="B18" s="10" t="s">
        <v>9</v>
      </c>
      <c r="C18" s="10" t="s">
        <v>22</v>
      </c>
      <c r="D18" s="12"/>
    </row>
    <row r="19" spans="1:4" x14ac:dyDescent="0.25">
      <c r="A19" s="9" t="s">
        <v>23</v>
      </c>
      <c r="B19" s="10" t="s">
        <v>9</v>
      </c>
      <c r="C19" s="10" t="s">
        <v>24</v>
      </c>
      <c r="D19" s="12"/>
    </row>
    <row r="20" spans="1:4" x14ac:dyDescent="0.25">
      <c r="A20" s="9" t="s">
        <v>25</v>
      </c>
      <c r="B20" s="10" t="s">
        <v>11</v>
      </c>
      <c r="C20" s="10" t="s">
        <v>26</v>
      </c>
      <c r="D20" s="12"/>
    </row>
    <row r="21" spans="1:4" x14ac:dyDescent="0.25">
      <c r="A21" s="13" t="s">
        <v>27</v>
      </c>
      <c r="B21" s="14" t="s">
        <v>13</v>
      </c>
      <c r="C21" s="14" t="s">
        <v>28</v>
      </c>
      <c r="D21" s="16"/>
    </row>
  </sheetData>
  <mergeCells count="6">
    <mergeCell ref="A15:D15"/>
    <mergeCell ref="A3:D4"/>
    <mergeCell ref="A1:B1"/>
    <mergeCell ref="A5:D5"/>
    <mergeCell ref="A6:D6"/>
    <mergeCell ref="A14:D14"/>
  </mergeCell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zoomScaleNormal="100" workbookViewId="0">
      <pane ySplit="2" topLeftCell="A3" activePane="bottomLeft" state="frozen"/>
      <selection pane="bottomLeft" activeCell="C3" sqref="C3"/>
    </sheetView>
  </sheetViews>
  <sheetFormatPr defaultColWidth="8.7109375" defaultRowHeight="15" x14ac:dyDescent="0.25"/>
  <cols>
    <col min="1" max="1" width="6" customWidth="1"/>
    <col min="2" max="2" width="11" customWidth="1"/>
    <col min="3" max="3" width="20.140625" bestFit="1" customWidth="1"/>
    <col min="4" max="4" width="18" customWidth="1"/>
    <col min="5" max="5" width="15" customWidth="1"/>
    <col min="6" max="6" width="10" customWidth="1"/>
    <col min="7" max="7" width="15" customWidth="1"/>
    <col min="8" max="8" width="19" customWidth="1"/>
    <col min="9" max="9" width="13" customWidth="1"/>
    <col min="10" max="10" width="19" customWidth="1"/>
    <col min="11" max="11" width="14" customWidth="1"/>
    <col min="12" max="12" width="22.28515625" bestFit="1" customWidth="1"/>
  </cols>
  <sheetData>
    <row r="1" spans="1:12" ht="46.5" customHeight="1" x14ac:dyDescent="0.25">
      <c r="A1" s="26" t="s">
        <v>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0" x14ac:dyDescent="0.25">
      <c r="A2" s="27" t="s">
        <v>30</v>
      </c>
      <c r="B2" s="27" t="s">
        <v>31</v>
      </c>
      <c r="C2" s="27" t="s">
        <v>32</v>
      </c>
      <c r="D2" s="27" t="s">
        <v>33</v>
      </c>
      <c r="E2" s="27" t="s">
        <v>17</v>
      </c>
      <c r="F2" s="27" t="s">
        <v>3</v>
      </c>
      <c r="G2" s="27" t="s">
        <v>34</v>
      </c>
      <c r="H2" s="27" t="s">
        <v>35</v>
      </c>
      <c r="I2" s="27" t="s">
        <v>36</v>
      </c>
      <c r="J2" s="27" t="s">
        <v>37</v>
      </c>
      <c r="K2" s="27" t="s">
        <v>38</v>
      </c>
      <c r="L2" s="27" t="s">
        <v>39</v>
      </c>
    </row>
    <row r="3" spans="1:12" x14ac:dyDescent="0.25">
      <c r="A3" s="10">
        <v>1</v>
      </c>
      <c r="B3" s="10" t="s">
        <v>40</v>
      </c>
      <c r="C3" s="28">
        <v>46211.729166666701</v>
      </c>
      <c r="D3" s="10" t="s">
        <v>41</v>
      </c>
      <c r="E3" s="10" t="s">
        <v>19</v>
      </c>
      <c r="F3" s="10" t="str">
        <f>VLOOKUP(E3,Table5[#All],2,FALSE())</f>
        <v>Critical</v>
      </c>
      <c r="G3" s="10" t="s">
        <v>42</v>
      </c>
      <c r="H3" s="28">
        <f>C3+VLOOKUP(F3,Table2[#All],3,FALSE())</f>
        <v>46211.895833333365</v>
      </c>
      <c r="I3" s="10" t="s">
        <v>43</v>
      </c>
      <c r="J3" s="10"/>
      <c r="K3" s="29" t="str">
        <f t="shared" ref="K3:K17" si="0">IF(I3="Resolved",(J3-C3)*24,"")</f>
        <v/>
      </c>
      <c r="L3" s="10" t="str">
        <f>IF(I3="Resolved",IF(J3&lt;=H3,"Resolved - Within SLA","Resolved - Breached"),IF(SLA_Master!$C$1&gt;H3,"Breached",IF((H3-SLA_Master!$C$1)*24&lt;=4,"At Risk","On Track")))</f>
        <v>At Risk</v>
      </c>
    </row>
    <row r="4" spans="1:12" x14ac:dyDescent="0.25">
      <c r="A4" s="10">
        <v>2</v>
      </c>
      <c r="B4" s="10" t="s">
        <v>44</v>
      </c>
      <c r="C4" s="28">
        <v>46211.375</v>
      </c>
      <c r="D4" s="10" t="s">
        <v>45</v>
      </c>
      <c r="E4" s="10" t="s">
        <v>19</v>
      </c>
      <c r="F4" s="10" t="str">
        <f>VLOOKUP(E4,Table5[#All],2,FALSE())</f>
        <v>Critical</v>
      </c>
      <c r="G4" s="10" t="s">
        <v>46</v>
      </c>
      <c r="H4" s="28">
        <f>C4+VLOOKUP(F4,Table2[#All],3,FALSE())</f>
        <v>46211.541666666664</v>
      </c>
      <c r="I4" s="10" t="s">
        <v>43</v>
      </c>
      <c r="J4" s="10"/>
      <c r="K4" s="29" t="str">
        <f t="shared" si="0"/>
        <v/>
      </c>
      <c r="L4" s="10" t="str">
        <f>IF(I4="Resolved",IF(J4&lt;=H4,"Resolved - Within SLA","Resolved - Breached"),IF(SLA_Master!$C$1&gt;H4,"Breached",IF((H4-SLA_Master!$C$1)*24&lt;=4,"At Risk","On Track")))</f>
        <v>Breached</v>
      </c>
    </row>
    <row r="5" spans="1:12" x14ac:dyDescent="0.25">
      <c r="A5" s="10">
        <v>3</v>
      </c>
      <c r="B5" s="10" t="s">
        <v>47</v>
      </c>
      <c r="C5" s="28">
        <v>46211.666666666701</v>
      </c>
      <c r="D5" s="10" t="s">
        <v>48</v>
      </c>
      <c r="E5" s="10" t="s">
        <v>21</v>
      </c>
      <c r="F5" s="10" t="str">
        <f>VLOOKUP(E5,Table5[#All],2,FALSE())</f>
        <v>High</v>
      </c>
      <c r="G5" s="10" t="s">
        <v>49</v>
      </c>
      <c r="H5" s="28">
        <f>C5+VLOOKUP(F5,Table2[#All],3,FALSE())</f>
        <v>46212.666666666701</v>
      </c>
      <c r="I5" s="10" t="s">
        <v>50</v>
      </c>
      <c r="J5" s="10"/>
      <c r="K5" s="29" t="str">
        <f t="shared" si="0"/>
        <v/>
      </c>
      <c r="L5" s="10" t="str">
        <f>IF(I5="Resolved",IF(J5&lt;=H5,"Resolved - Within SLA","Resolved - Breached"),IF(SLA_Master!$C$1&gt;H5,"Breached",IF((H5-SLA_Master!$C$1)*24&lt;=4,"At Risk","On Track")))</f>
        <v>On Track</v>
      </c>
    </row>
    <row r="6" spans="1:12" x14ac:dyDescent="0.25">
      <c r="A6" s="10">
        <v>4</v>
      </c>
      <c r="B6" s="10" t="s">
        <v>51</v>
      </c>
      <c r="C6" s="28">
        <v>46210.875</v>
      </c>
      <c r="D6" s="10" t="s">
        <v>52</v>
      </c>
      <c r="E6" s="10" t="s">
        <v>21</v>
      </c>
      <c r="F6" s="10" t="str">
        <f>VLOOKUP(E6,Table5[#All],2,FALSE())</f>
        <v>High</v>
      </c>
      <c r="G6" s="10" t="s">
        <v>53</v>
      </c>
      <c r="H6" s="28">
        <f>C6+VLOOKUP(F6,Table2[#All],3,FALSE())</f>
        <v>46211.875</v>
      </c>
      <c r="I6" s="10" t="s">
        <v>50</v>
      </c>
      <c r="J6" s="10"/>
      <c r="K6" s="29" t="str">
        <f t="shared" si="0"/>
        <v/>
      </c>
      <c r="L6" s="10" t="str">
        <f>IF(I6="Resolved",IF(J6&lt;=H6,"Resolved - Within SLA","Resolved - Breached"),IF(SLA_Master!$C$1&gt;H6,"Breached",IF((H6-SLA_Master!$C$1)*24&lt;=4,"At Risk","On Track")))</f>
        <v>At Risk</v>
      </c>
    </row>
    <row r="7" spans="1:12" x14ac:dyDescent="0.25">
      <c r="A7" s="10">
        <v>5</v>
      </c>
      <c r="B7" s="10" t="s">
        <v>54</v>
      </c>
      <c r="C7" s="28">
        <v>46210.5</v>
      </c>
      <c r="D7" s="10" t="s">
        <v>55</v>
      </c>
      <c r="E7" s="10" t="s">
        <v>23</v>
      </c>
      <c r="F7" s="10" t="str">
        <f>VLOOKUP(E7,Table5[#All],2,FALSE())</f>
        <v>High</v>
      </c>
      <c r="G7" s="10" t="s">
        <v>56</v>
      </c>
      <c r="H7" s="28">
        <f>C7+VLOOKUP(F7,Table2[#All],3,FALSE())</f>
        <v>46211.5</v>
      </c>
      <c r="I7" s="10" t="s">
        <v>43</v>
      </c>
      <c r="J7" s="10"/>
      <c r="K7" s="29" t="str">
        <f t="shared" si="0"/>
        <v/>
      </c>
      <c r="L7" s="10" t="str">
        <f>IF(I7="Resolved",IF(J7&lt;=H7,"Resolved - Within SLA","Resolved - Breached"),IF(SLA_Master!$C$1&gt;H7,"Breached",IF((H7-SLA_Master!$C$1)*24&lt;=4,"At Risk","On Track")))</f>
        <v>Breached</v>
      </c>
    </row>
    <row r="8" spans="1:12" x14ac:dyDescent="0.25">
      <c r="A8" s="10">
        <v>6</v>
      </c>
      <c r="B8" s="10" t="s">
        <v>57</v>
      </c>
      <c r="C8" s="28">
        <v>46210.916666666701</v>
      </c>
      <c r="D8" s="10" t="s">
        <v>58</v>
      </c>
      <c r="E8" s="10" t="s">
        <v>23</v>
      </c>
      <c r="F8" s="10" t="str">
        <f>VLOOKUP(E8,Table5[#All],2,FALSE())</f>
        <v>High</v>
      </c>
      <c r="G8" s="10" t="s">
        <v>42</v>
      </c>
      <c r="H8" s="28">
        <f>C8+VLOOKUP(F8,Table2[#All],3,FALSE())</f>
        <v>46211.916666666701</v>
      </c>
      <c r="I8" s="10" t="s">
        <v>59</v>
      </c>
      <c r="J8" s="28">
        <v>46211.125</v>
      </c>
      <c r="K8" s="29">
        <f t="shared" si="0"/>
        <v>4.9999999991850927</v>
      </c>
      <c r="L8" s="10" t="str">
        <f>IF(I8="Resolved",IF(J8&lt;=H8,"Resolved - Within SLA","Resolved - Breached"),IF(SLA_Master!$C$1&gt;H8,"Breached",IF((H8-SLA_Master!$C$1)*24&lt;=4,"At Risk","On Track")))</f>
        <v>Resolved - Within SLA</v>
      </c>
    </row>
    <row r="9" spans="1:12" x14ac:dyDescent="0.25">
      <c r="A9" s="10">
        <v>7</v>
      </c>
      <c r="B9" s="10" t="s">
        <v>60</v>
      </c>
      <c r="C9" s="28">
        <v>46211.333333333299</v>
      </c>
      <c r="D9" s="10" t="s">
        <v>61</v>
      </c>
      <c r="E9" s="10" t="s">
        <v>25</v>
      </c>
      <c r="F9" s="10" t="str">
        <f>VLOOKUP(E9,Table5[#All],2,FALSE())</f>
        <v>Medium</v>
      </c>
      <c r="G9" s="10" t="s">
        <v>46</v>
      </c>
      <c r="H9" s="28">
        <f>C9+VLOOKUP(F9,Table2[#All],3,FALSE())</f>
        <v>46213.333333333299</v>
      </c>
      <c r="I9" s="10" t="s">
        <v>50</v>
      </c>
      <c r="J9" s="10"/>
      <c r="K9" s="29" t="str">
        <f t="shared" si="0"/>
        <v/>
      </c>
      <c r="L9" s="10" t="str">
        <f>IF(I9="Resolved",IF(J9&lt;=H9,"Resolved - Within SLA","Resolved - Breached"),IF(SLA_Master!$C$1&gt;H9,"Breached",IF((H9-SLA_Master!$C$1)*24&lt;=4,"At Risk","On Track")))</f>
        <v>On Track</v>
      </c>
    </row>
    <row r="10" spans="1:12" x14ac:dyDescent="0.25">
      <c r="A10" s="10">
        <v>8</v>
      </c>
      <c r="B10" s="10" t="s">
        <v>62</v>
      </c>
      <c r="C10" s="28">
        <v>46209.833333333299</v>
      </c>
      <c r="D10" s="10" t="s">
        <v>63</v>
      </c>
      <c r="E10" s="10" t="s">
        <v>25</v>
      </c>
      <c r="F10" s="10" t="str">
        <f>VLOOKUP(E10,Table5[#All],2,FALSE())</f>
        <v>Medium</v>
      </c>
      <c r="G10" s="10" t="s">
        <v>49</v>
      </c>
      <c r="H10" s="28">
        <f>C10+VLOOKUP(F10,Table2[#All],3,FALSE())</f>
        <v>46211.833333333299</v>
      </c>
      <c r="I10" s="10" t="s">
        <v>50</v>
      </c>
      <c r="J10" s="10"/>
      <c r="K10" s="29" t="str">
        <f t="shared" si="0"/>
        <v/>
      </c>
      <c r="L10" s="10" t="str">
        <f>IF(I10="Resolved",IF(J10&lt;=H10,"Resolved - Within SLA","Resolved - Breached"),IF(SLA_Master!$C$1&gt;H10,"Breached",IF((H10-SLA_Master!$C$1)*24&lt;=4,"At Risk","On Track")))</f>
        <v>At Risk</v>
      </c>
    </row>
    <row r="11" spans="1:12" x14ac:dyDescent="0.25">
      <c r="A11" s="10">
        <v>9</v>
      </c>
      <c r="B11" s="10" t="s">
        <v>64</v>
      </c>
      <c r="C11" s="28">
        <v>46209.25</v>
      </c>
      <c r="D11" s="10" t="s">
        <v>65</v>
      </c>
      <c r="E11" s="10" t="s">
        <v>25</v>
      </c>
      <c r="F11" s="10" t="str">
        <f>VLOOKUP(E11,Table5[#All],2,FALSE())</f>
        <v>Medium</v>
      </c>
      <c r="G11" s="10" t="s">
        <v>53</v>
      </c>
      <c r="H11" s="28">
        <f>C11+VLOOKUP(F11,Table2[#All],3,FALSE())</f>
        <v>46211.25</v>
      </c>
      <c r="I11" s="10" t="s">
        <v>43</v>
      </c>
      <c r="J11" s="10"/>
      <c r="K11" s="29" t="str">
        <f t="shared" si="0"/>
        <v/>
      </c>
      <c r="L11" s="10" t="str">
        <f>IF(I11="Resolved",IF(J11&lt;=H11,"Resolved - Within SLA","Resolved - Breached"),IF(SLA_Master!$C$1&gt;H11,"Breached",IF((H11-SLA_Master!$C$1)*24&lt;=4,"At Risk","On Track")))</f>
        <v>Breached</v>
      </c>
    </row>
    <row r="12" spans="1:12" x14ac:dyDescent="0.25">
      <c r="A12" s="10">
        <v>10</v>
      </c>
      <c r="B12" s="10" t="s">
        <v>66</v>
      </c>
      <c r="C12" s="28">
        <v>46207.583333333299</v>
      </c>
      <c r="D12" s="10" t="s">
        <v>67</v>
      </c>
      <c r="E12" s="10" t="s">
        <v>25</v>
      </c>
      <c r="F12" s="10" t="str">
        <f>VLOOKUP(E12,Table5[#All],2,FALSE())</f>
        <v>Medium</v>
      </c>
      <c r="G12" s="10" t="s">
        <v>56</v>
      </c>
      <c r="H12" s="28">
        <f>C12+VLOOKUP(F12,Table2[#All],3,FALSE())</f>
        <v>46209.583333333299</v>
      </c>
      <c r="I12" s="10" t="s">
        <v>59</v>
      </c>
      <c r="J12" s="28">
        <v>46208.833333333299</v>
      </c>
      <c r="K12" s="29">
        <f t="shared" si="0"/>
        <v>30</v>
      </c>
      <c r="L12" s="10" t="str">
        <f>IF(I12="Resolved",IF(J12&lt;=H12,"Resolved - Within SLA","Resolved - Breached"),IF(SLA_Master!$C$1&gt;H12,"Breached",IF((H12-SLA_Master!$C$1)*24&lt;=4,"At Risk","On Track")))</f>
        <v>Resolved - Within SLA</v>
      </c>
    </row>
    <row r="13" spans="1:12" x14ac:dyDescent="0.25">
      <c r="A13" s="10">
        <v>11</v>
      </c>
      <c r="B13" s="10" t="s">
        <v>68</v>
      </c>
      <c r="C13" s="28">
        <v>46205.5</v>
      </c>
      <c r="D13" s="10" t="s">
        <v>69</v>
      </c>
      <c r="E13" s="10" t="s">
        <v>25</v>
      </c>
      <c r="F13" s="10" t="str">
        <f>VLOOKUP(E13,Table5[#All],2,FALSE())</f>
        <v>Medium</v>
      </c>
      <c r="G13" s="10" t="s">
        <v>42</v>
      </c>
      <c r="H13" s="28">
        <f>C13+VLOOKUP(F13,Table2[#All],3,FALSE())</f>
        <v>46207.5</v>
      </c>
      <c r="I13" s="10" t="s">
        <v>59</v>
      </c>
      <c r="J13" s="28">
        <v>46208.416666666701</v>
      </c>
      <c r="K13" s="29">
        <f t="shared" si="0"/>
        <v>70.000000000814907</v>
      </c>
      <c r="L13" s="10" t="str">
        <f>IF(I13="Resolved",IF(J13&lt;=H13,"Resolved - Within SLA","Resolved - Breached"),IF(SLA_Master!$C$1&gt;H13,"Breached",IF((H13-SLA_Master!$C$1)*24&lt;=4,"At Risk","On Track")))</f>
        <v>Resolved - Breached</v>
      </c>
    </row>
    <row r="14" spans="1:12" x14ac:dyDescent="0.25">
      <c r="A14" s="10">
        <v>12</v>
      </c>
      <c r="B14" s="10" t="s">
        <v>70</v>
      </c>
      <c r="C14" s="28">
        <v>46210.75</v>
      </c>
      <c r="D14" s="10" t="s">
        <v>71</v>
      </c>
      <c r="E14" s="10" t="s">
        <v>27</v>
      </c>
      <c r="F14" s="10" t="str">
        <f>VLOOKUP(E14,Table5[#All],2,FALSE())</f>
        <v>Low</v>
      </c>
      <c r="G14" s="10" t="s">
        <v>46</v>
      </c>
      <c r="H14" s="28">
        <f>C14+VLOOKUP(F14,Table2[#All],3,FALSE())</f>
        <v>46213.75</v>
      </c>
      <c r="I14" s="10" t="s">
        <v>43</v>
      </c>
      <c r="J14" s="10"/>
      <c r="K14" s="29" t="str">
        <f t="shared" si="0"/>
        <v/>
      </c>
      <c r="L14" s="10" t="str">
        <f>IF(I14="Resolved",IF(J14&lt;=H14,"Resolved - Within SLA","Resolved - Breached"),IF(SLA_Master!$C$1&gt;H14,"Breached",IF((H14-SLA_Master!$C$1)*24&lt;=4,"At Risk","On Track")))</f>
        <v>On Track</v>
      </c>
    </row>
    <row r="15" spans="1:12" x14ac:dyDescent="0.25">
      <c r="A15" s="10">
        <v>13</v>
      </c>
      <c r="B15" s="10" t="s">
        <v>72</v>
      </c>
      <c r="C15" s="28">
        <v>46203.416666666701</v>
      </c>
      <c r="D15" s="10" t="s">
        <v>73</v>
      </c>
      <c r="E15" s="10" t="s">
        <v>27</v>
      </c>
      <c r="F15" s="10" t="str">
        <f>VLOOKUP(E15,Table5[#All],2,FALSE())</f>
        <v>Low</v>
      </c>
      <c r="G15" s="10" t="s">
        <v>49</v>
      </c>
      <c r="H15" s="28">
        <f>C15+VLOOKUP(F15,Table2[#All],3,FALSE())</f>
        <v>46206.416666666701</v>
      </c>
      <c r="I15" s="10" t="s">
        <v>59</v>
      </c>
      <c r="J15" s="28">
        <v>46205.5</v>
      </c>
      <c r="K15" s="29">
        <f t="shared" si="0"/>
        <v>49.999999999185093</v>
      </c>
      <c r="L15" s="10" t="str">
        <f>IF(I15="Resolved",IF(J15&lt;=H15,"Resolved - Within SLA","Resolved - Breached"),IF(SLA_Master!$C$1&gt;H15,"Breached",IF((H15-SLA_Master!$C$1)*24&lt;=4,"At Risk","On Track")))</f>
        <v>Resolved - Within SLA</v>
      </c>
    </row>
    <row r="16" spans="1:12" x14ac:dyDescent="0.25">
      <c r="A16" s="10">
        <v>14</v>
      </c>
      <c r="B16" s="10" t="s">
        <v>74</v>
      </c>
      <c r="C16" s="28">
        <v>46201.333333333299</v>
      </c>
      <c r="D16" s="10" t="s">
        <v>75</v>
      </c>
      <c r="E16" s="10" t="s">
        <v>27</v>
      </c>
      <c r="F16" s="10" t="str">
        <f>VLOOKUP(E16,Table5[#All],2,FALSE())</f>
        <v>Low</v>
      </c>
      <c r="G16" s="10" t="s">
        <v>53</v>
      </c>
      <c r="H16" s="28">
        <f>C16+VLOOKUP(F16,Table2[#All],3,FALSE())</f>
        <v>46204.333333333299</v>
      </c>
      <c r="I16" s="10" t="s">
        <v>59</v>
      </c>
      <c r="J16" s="28">
        <v>46205.5</v>
      </c>
      <c r="K16" s="29">
        <f t="shared" si="0"/>
        <v>100.00000000081491</v>
      </c>
      <c r="L16" s="10" t="str">
        <f>IF(I16="Resolved",IF(J16&lt;=H16,"Resolved - Within SLA","Resolved - Breached"),IF(SLA_Master!$C$1&gt;H16,"Breached",IF((H16-SLA_Master!$C$1)*24&lt;=4,"At Risk","On Track")))</f>
        <v>Resolved - Breached</v>
      </c>
    </row>
    <row r="17" spans="1:12" x14ac:dyDescent="0.25">
      <c r="A17" s="10">
        <v>15</v>
      </c>
      <c r="B17" s="10" t="s">
        <v>76</v>
      </c>
      <c r="C17" s="28">
        <v>46206.333333333299</v>
      </c>
      <c r="D17" s="10" t="s">
        <v>77</v>
      </c>
      <c r="E17" s="10" t="s">
        <v>27</v>
      </c>
      <c r="F17" s="10" t="str">
        <f>VLOOKUP(E17,Table5[#All],2,FALSE())</f>
        <v>Low</v>
      </c>
      <c r="G17" s="10" t="s">
        <v>56</v>
      </c>
      <c r="H17" s="28">
        <f>C17+VLOOKUP(F17,Table2[#All],3,FALSE())</f>
        <v>46209.333333333299</v>
      </c>
      <c r="I17" s="10" t="s">
        <v>43</v>
      </c>
      <c r="J17" s="10"/>
      <c r="K17" s="29" t="str">
        <f t="shared" si="0"/>
        <v/>
      </c>
      <c r="L17" s="10" t="str">
        <f>IF(I17="Resolved",IF(J17&lt;=H17,"Resolved - Within SLA","Resolved - Breached"),IF(SLA_Master!$C$1&gt;H17,"Breached",IF((H17-SLA_Master!$C$1)*24&lt;=4,"At Risk","On Track")))</f>
        <v>Breached</v>
      </c>
    </row>
  </sheetData>
  <mergeCells count="1">
    <mergeCell ref="A1:L1"/>
  </mergeCells>
  <conditionalFormatting sqref="F3:F17">
    <cfRule type="cellIs" dxfId="14" priority="8" operator="equal">
      <formula>"Critical"</formula>
    </cfRule>
    <cfRule type="cellIs" dxfId="13" priority="9" operator="equal">
      <formula>"High"</formula>
    </cfRule>
  </conditionalFormatting>
  <conditionalFormatting sqref="I3:I17">
    <cfRule type="cellIs" dxfId="12" priority="10" operator="equal">
      <formula>"In Progress"</formula>
    </cfRule>
  </conditionalFormatting>
  <conditionalFormatting sqref="L3:L17">
    <cfRule type="cellIs" dxfId="11" priority="3" operator="equal">
      <formula>"On Track"</formula>
    </cfRule>
    <cfRule type="cellIs" dxfId="10" priority="4" operator="equal">
      <formula>"Resolved - Within SLA"</formula>
    </cfRule>
    <cfRule type="cellIs" dxfId="9" priority="5" operator="equal">
      <formula>"At Risk"</formula>
    </cfRule>
    <cfRule type="cellIs" dxfId="8" priority="6" operator="equal">
      <formula>"Breached"</formula>
    </cfRule>
    <cfRule type="cellIs" dxfId="7" priority="7" operator="equal">
      <formula>"Resolved - Breached"</formula>
    </cfRule>
  </conditionalFormatting>
  <conditionalFormatting sqref="I1:I1048576">
    <cfRule type="cellIs" dxfId="6" priority="1" operator="equal">
      <formula>"Resolved"</formula>
    </cfRule>
  </conditionalFormatting>
  <dataValidations count="2">
    <dataValidation type="list" errorTitle="Invalid Status" error="Choose Open, In Progress, or Resolved" sqref="I3:I37" xr:uid="{00000000-0002-0000-0100-000000000000}">
      <formula1>"Open,In Progress,Resolved"</formula1>
      <formula2>0</formula2>
    </dataValidation>
    <dataValidation type="list" errorTitle="Invalid Category" error="Pick a valid category — Priority will auto-fill" sqref="E3:E37" xr:uid="{00000000-0002-0000-0100-000001000000}">
      <formula1>"Billing,Technical,Delivery,Product Quality,Account Access"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Normal="100" workbookViewId="0">
      <selection activeCell="E23" sqref="E23"/>
    </sheetView>
  </sheetViews>
  <sheetFormatPr defaultColWidth="8.7109375" defaultRowHeight="15" x14ac:dyDescent="0.25"/>
  <cols>
    <col min="1" max="1" width="22" customWidth="1"/>
    <col min="2" max="2" width="12.7109375" customWidth="1"/>
    <col min="3" max="3" width="17" customWidth="1"/>
    <col min="4" max="4" width="15" customWidth="1"/>
    <col min="5" max="5" width="22" customWidth="1"/>
  </cols>
  <sheetData>
    <row r="1" spans="1:5" ht="33" customHeight="1" x14ac:dyDescent="0.25">
      <c r="A1" s="25" t="s">
        <v>78</v>
      </c>
      <c r="B1" s="25"/>
      <c r="C1" s="25"/>
      <c r="D1" s="25"/>
      <c r="E1" s="25"/>
    </row>
    <row r="2" spans="1:5" ht="15.75" x14ac:dyDescent="0.25">
      <c r="A2" s="23" t="s">
        <v>79</v>
      </c>
      <c r="B2" s="23"/>
      <c r="C2" s="23"/>
      <c r="D2" s="23"/>
      <c r="E2" s="23"/>
    </row>
    <row r="3" spans="1:5" ht="30" x14ac:dyDescent="0.25">
      <c r="A3" s="2" t="s">
        <v>80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 x14ac:dyDescent="0.25">
      <c r="A4" t="s">
        <v>42</v>
      </c>
      <c r="B4">
        <f>COUNTIF(Complaint_Tickets!$G$3:$G$17,A4)</f>
        <v>3</v>
      </c>
      <c r="C4">
        <f>COUNTIFS(Complaint_Tickets!$G$3:$G$17,A4,Complaint_Tickets!$L$3:$L$17,"Breached")+COUNTIFS(Complaint_Tickets!$G$3:$G$17,A4,Complaint_Tickets!$L$3:$L$17,"Resolved - Breached")</f>
        <v>1</v>
      </c>
      <c r="D4" s="5">
        <f>IF(B4=0,0,C4/B4)</f>
        <v>0.33333333333333331</v>
      </c>
      <c r="E4" s="4">
        <f>IFERROR(AVERAGEIFS(Complaint_Tickets!$K$3:$K$17,Complaint_Tickets!$G$3:$G$17,A4,Complaint_Tickets!$I$3:$I$17,"Resolved"),0)</f>
        <v>37.5</v>
      </c>
    </row>
    <row r="5" spans="1:5" x14ac:dyDescent="0.25">
      <c r="A5" t="s">
        <v>46</v>
      </c>
      <c r="B5">
        <f>COUNTIF(Complaint_Tickets!$G$3:$G$17,A5)</f>
        <v>3</v>
      </c>
      <c r="C5">
        <f>COUNTIFS(Complaint_Tickets!$G$3:$G$17,A5,Complaint_Tickets!$L$3:$L$17,"Breached")+COUNTIFS(Complaint_Tickets!$G$3:$G$17,A5,Complaint_Tickets!$L$3:$L$17,"Resolved - Breached")</f>
        <v>1</v>
      </c>
      <c r="D5" s="5">
        <f>IF(B5=0,0,C5/B5)</f>
        <v>0.33333333333333331</v>
      </c>
      <c r="E5" s="4">
        <f>IFERROR(AVERAGEIFS(Complaint_Tickets!$K$3:$K$17,Complaint_Tickets!$G$3:$G$17,A5,Complaint_Tickets!$I$3:$I$17,"Resolved"),0)</f>
        <v>0</v>
      </c>
    </row>
    <row r="6" spans="1:5" x14ac:dyDescent="0.25">
      <c r="A6" t="s">
        <v>49</v>
      </c>
      <c r="B6">
        <f>COUNTIF(Complaint_Tickets!$G$3:$G$17,A6)</f>
        <v>3</v>
      </c>
      <c r="C6">
        <f>COUNTIFS(Complaint_Tickets!$G$3:$G$17,A6,Complaint_Tickets!$L$3:$L$17,"Breached")+COUNTIFS(Complaint_Tickets!$G$3:$G$17,A6,Complaint_Tickets!$L$3:$L$17,"Resolved - Breached")</f>
        <v>0</v>
      </c>
      <c r="D6" s="5">
        <f>IF(B6=0,0,C6/B6)</f>
        <v>0</v>
      </c>
      <c r="E6" s="4">
        <f>IFERROR(AVERAGEIFS(Complaint_Tickets!$K$3:$K$17,Complaint_Tickets!$G$3:$G$17,A6,Complaint_Tickets!$I$3:$I$17,"Resolved"),0)</f>
        <v>49.999999999185093</v>
      </c>
    </row>
    <row r="7" spans="1:5" x14ac:dyDescent="0.25">
      <c r="A7" t="s">
        <v>53</v>
      </c>
      <c r="B7">
        <f>COUNTIF(Complaint_Tickets!$G$3:$G$17,A7)</f>
        <v>3</v>
      </c>
      <c r="C7">
        <f>COUNTIFS(Complaint_Tickets!$G$3:$G$17,A7,Complaint_Tickets!$L$3:$L$17,"Breached")+COUNTIFS(Complaint_Tickets!$G$3:$G$17,A7,Complaint_Tickets!$L$3:$L$17,"Resolved - Breached")</f>
        <v>2</v>
      </c>
      <c r="D7" s="5">
        <f>IF(B7=0,0,C7/B7)</f>
        <v>0.66666666666666663</v>
      </c>
      <c r="E7" s="4">
        <f>IFERROR(AVERAGEIFS(Complaint_Tickets!$K$3:$K$17,Complaint_Tickets!$G$3:$G$17,A7,Complaint_Tickets!$I$3:$I$17,"Resolved"),0)</f>
        <v>100.00000000081491</v>
      </c>
    </row>
    <row r="8" spans="1:5" x14ac:dyDescent="0.25">
      <c r="A8" t="s">
        <v>56</v>
      </c>
      <c r="B8">
        <f>COUNTIF(Complaint_Tickets!$G$3:$G$17,A8)</f>
        <v>3</v>
      </c>
      <c r="C8">
        <f>COUNTIFS(Complaint_Tickets!$G$3:$G$17,A8,Complaint_Tickets!$L$3:$L$17,"Breached")+COUNTIFS(Complaint_Tickets!$G$3:$G$17,A8,Complaint_Tickets!$L$3:$L$17,"Resolved - Breached")</f>
        <v>2</v>
      </c>
      <c r="D8" s="5">
        <f>IF(B8=0,0,C8/B8)</f>
        <v>0.66666666666666663</v>
      </c>
      <c r="E8" s="4">
        <f>IFERROR(AVERAGEIFS(Complaint_Tickets!$K$3:$K$17,Complaint_Tickets!$G$3:$G$17,A8,Complaint_Tickets!$I$3:$I$17,"Resolved"),0)</f>
        <v>30</v>
      </c>
    </row>
    <row r="11" spans="1:5" ht="15.75" x14ac:dyDescent="0.25">
      <c r="A11" s="23" t="s">
        <v>85</v>
      </c>
      <c r="B11" s="23"/>
      <c r="C11" s="23"/>
      <c r="D11" s="23"/>
      <c r="E11" s="23"/>
    </row>
    <row r="12" spans="1:5" ht="30" x14ac:dyDescent="0.25">
      <c r="A12" s="2" t="s">
        <v>17</v>
      </c>
      <c r="B12" s="2" t="s">
        <v>81</v>
      </c>
      <c r="C12" s="2" t="s">
        <v>82</v>
      </c>
      <c r="D12" s="2" t="s">
        <v>83</v>
      </c>
      <c r="E12" s="2" t="s">
        <v>84</v>
      </c>
    </row>
    <row r="13" spans="1:5" x14ac:dyDescent="0.25">
      <c r="A13" t="s">
        <v>25</v>
      </c>
      <c r="B13">
        <f>COUNTIF(Complaint_Tickets!$E$3:$E$17,A13)</f>
        <v>5</v>
      </c>
      <c r="C13">
        <f>COUNTIFS(Complaint_Tickets!$E$3:$E$17,A13,Complaint_Tickets!$L$3:$L$17,"Breached")+COUNTIFS(Complaint_Tickets!$E$3:$E$17,A13,Complaint_Tickets!$L$3:$L$17,"Resolved - Breached")</f>
        <v>2</v>
      </c>
      <c r="D13" s="5">
        <f>IF(B13=0,0,C13/B13)</f>
        <v>0.4</v>
      </c>
      <c r="E13" s="4">
        <f>IFERROR(AVERAGEIFS(Complaint_Tickets!$K$3:$K$17,Complaint_Tickets!$E$3:$E$17,A13,Complaint_Tickets!$I$3:$I$17,"Resolved"),0)</f>
        <v>50.000000000407454</v>
      </c>
    </row>
    <row r="14" spans="1:5" x14ac:dyDescent="0.25">
      <c r="A14" t="s">
        <v>21</v>
      </c>
      <c r="B14">
        <f>COUNTIF(Complaint_Tickets!$E$3:$E$17,A14)</f>
        <v>2</v>
      </c>
      <c r="C14">
        <f>COUNTIFS(Complaint_Tickets!$E$3:$E$17,A14,Complaint_Tickets!$L$3:$L$17,"Breached")+COUNTIFS(Complaint_Tickets!$E$3:$E$17,A14,Complaint_Tickets!$L$3:$L$17,"Resolved - Breached")</f>
        <v>0</v>
      </c>
      <c r="D14" s="5">
        <f>IF(B14=0,0,C14/B14)</f>
        <v>0</v>
      </c>
      <c r="E14" s="4">
        <f>IFERROR(AVERAGEIFS(Complaint_Tickets!$K$3:$K$17,Complaint_Tickets!$E$3:$E$17,A14,Complaint_Tickets!$I$3:$I$17,"Resolved"),0)</f>
        <v>0</v>
      </c>
    </row>
    <row r="15" spans="1:5" x14ac:dyDescent="0.25">
      <c r="A15" t="s">
        <v>27</v>
      </c>
      <c r="B15">
        <f>COUNTIF(Complaint_Tickets!$E$3:$E$17,A15)</f>
        <v>4</v>
      </c>
      <c r="C15">
        <f>COUNTIFS(Complaint_Tickets!$E$3:$E$17,A15,Complaint_Tickets!$L$3:$L$17,"Breached")+COUNTIFS(Complaint_Tickets!$E$3:$E$17,A15,Complaint_Tickets!$L$3:$L$17,"Resolved - Breached")</f>
        <v>2</v>
      </c>
      <c r="D15" s="5">
        <f>IF(B15=0,0,C15/B15)</f>
        <v>0.5</v>
      </c>
      <c r="E15" s="4">
        <f>IFERROR(AVERAGEIFS(Complaint_Tickets!$K$3:$K$17,Complaint_Tickets!$E$3:$E$17,A15,Complaint_Tickets!$I$3:$I$17,"Resolved"),0)</f>
        <v>75</v>
      </c>
    </row>
    <row r="16" spans="1:5" x14ac:dyDescent="0.25">
      <c r="A16" t="s">
        <v>23</v>
      </c>
      <c r="B16">
        <f>COUNTIF(Complaint_Tickets!$E$3:$E$17,A16)</f>
        <v>2</v>
      </c>
      <c r="C16">
        <f>COUNTIFS(Complaint_Tickets!$E$3:$E$17,A16,Complaint_Tickets!$L$3:$L$17,"Breached")+COUNTIFS(Complaint_Tickets!$E$3:$E$17,A16,Complaint_Tickets!$L$3:$L$17,"Resolved - Breached")</f>
        <v>1</v>
      </c>
      <c r="D16" s="5">
        <f>IF(B16=0,0,C16/B16)</f>
        <v>0.5</v>
      </c>
      <c r="E16" s="4">
        <f>IFERROR(AVERAGEIFS(Complaint_Tickets!$K$3:$K$17,Complaint_Tickets!$E$3:$E$17,A16,Complaint_Tickets!$I$3:$I$17,"Resolved"),0)</f>
        <v>4.9999999991850927</v>
      </c>
    </row>
    <row r="17" spans="1:5" x14ac:dyDescent="0.25">
      <c r="A17" t="s">
        <v>19</v>
      </c>
      <c r="B17">
        <f>COUNTIF(Complaint_Tickets!$E$3:$E$17,A17)</f>
        <v>2</v>
      </c>
      <c r="C17">
        <f>COUNTIFS(Complaint_Tickets!$E$3:$E$17,A17,Complaint_Tickets!$L$3:$L$17,"Breached")+COUNTIFS(Complaint_Tickets!$E$3:$E$17,A17,Complaint_Tickets!$L$3:$L$17,"Resolved - Breached")</f>
        <v>1</v>
      </c>
      <c r="D17" s="5">
        <f>IF(B17=0,0,C17/B17)</f>
        <v>0.5</v>
      </c>
      <c r="E17" s="4">
        <f>IFERROR(AVERAGEIFS(Complaint_Tickets!$K$3:$K$17,Complaint_Tickets!$E$3:$E$17,A17,Complaint_Tickets!$I$3:$I$17,"Resolved"),0)</f>
        <v>0</v>
      </c>
    </row>
    <row r="19" spans="1:5" ht="15.75" x14ac:dyDescent="0.25">
      <c r="A19" s="31" t="s">
        <v>86</v>
      </c>
      <c r="B19" s="31"/>
      <c r="C19" s="31"/>
      <c r="D19" s="30"/>
      <c r="E19" s="30"/>
    </row>
    <row r="20" spans="1:5" x14ac:dyDescent="0.25">
      <c r="A20" s="32" t="s">
        <v>81</v>
      </c>
      <c r="B20" s="32"/>
      <c r="C20" s="10">
        <f>COUNTA(Complaint_Tickets!$B$3:$B$17)</f>
        <v>15</v>
      </c>
    </row>
    <row r="21" spans="1:5" x14ac:dyDescent="0.25">
      <c r="A21" s="32" t="s">
        <v>90</v>
      </c>
      <c r="B21" s="32"/>
      <c r="C21" s="10">
        <f>COUNTIF(Complaint_Tickets!$L$3:$L$17,"Breached")+COUNTIF(Complaint_Tickets!$L$3:$L$17,"Resolved - Breached")</f>
        <v>6</v>
      </c>
    </row>
    <row r="22" spans="1:5" x14ac:dyDescent="0.25">
      <c r="A22" s="32" t="s">
        <v>87</v>
      </c>
      <c r="B22" s="32"/>
      <c r="C22" s="33">
        <f>C21/C20</f>
        <v>0.4</v>
      </c>
    </row>
    <row r="23" spans="1:5" x14ac:dyDescent="0.25">
      <c r="A23" s="32" t="s">
        <v>92</v>
      </c>
      <c r="B23" s="32"/>
      <c r="C23" s="10">
        <f>COUNTIF(Complaint_Tickets!$L$3:$L$17,"At Risk")</f>
        <v>3</v>
      </c>
    </row>
    <row r="24" spans="1:5" x14ac:dyDescent="0.25">
      <c r="A24" s="32" t="s">
        <v>91</v>
      </c>
      <c r="B24" s="32"/>
      <c r="C24" s="10">
        <f>COUNTIF(Complaint_Tickets!$L$3:$L$17,"On Track")</f>
        <v>3</v>
      </c>
    </row>
  </sheetData>
  <mergeCells count="9">
    <mergeCell ref="A21:B21"/>
    <mergeCell ref="A22:B22"/>
    <mergeCell ref="A23:B23"/>
    <mergeCell ref="A24:B24"/>
    <mergeCell ref="A19:C19"/>
    <mergeCell ref="A1:E1"/>
    <mergeCell ref="A2:E2"/>
    <mergeCell ref="A11:E11"/>
    <mergeCell ref="A20:B20"/>
  </mergeCells>
  <conditionalFormatting sqref="D4:D8">
    <cfRule type="cellIs" dxfId="5" priority="2" operator="greaterThan">
      <formula>0.3</formula>
    </cfRule>
    <cfRule type="cellIs" dxfId="4" priority="3" operator="between">
      <formula>0.15</formula>
      <formula>0.3</formula>
    </cfRule>
    <cfRule type="cellIs" dxfId="3" priority="4" operator="lessThan">
      <formula>0.15</formula>
    </cfRule>
  </conditionalFormatting>
  <conditionalFormatting sqref="D13:D17">
    <cfRule type="cellIs" dxfId="2" priority="5" operator="greaterThan">
      <formula>0.3</formula>
    </cfRule>
    <cfRule type="cellIs" dxfId="1" priority="6" operator="between">
      <formula>0.15</formula>
      <formula>0.3</formula>
    </cfRule>
    <cfRule type="cellIs" dxfId="0" priority="7" operator="lessThan">
      <formula>0.15</formula>
    </cfRule>
  </conditionalFormatting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SLA_Master</vt:lpstr>
      <vt:lpstr>Complaint_Tickets</vt:lpstr>
      <vt:lpstr>SLA_Breach_Dashboard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Sonu Kumar</cp:lastModifiedBy>
  <cp:revision>0</cp:revision>
  <dcterms:created xsi:type="dcterms:W3CDTF">2026-07-09T04:10:13Z</dcterms:created>
  <dcterms:modified xsi:type="dcterms:W3CDTF">2026-07-09T04:31:31Z</dcterms:modified>
  <dc:language>en-US</dc:language>
</cp:coreProperties>
</file>